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0937d0c61f3a4c/Documents/"/>
    </mc:Choice>
  </mc:AlternateContent>
  <xr:revisionPtr revIDLastSave="174" documentId="8_{07C28ECF-F609-4476-9EFA-CA82C00BA7BC}" xr6:coauthVersionLast="47" xr6:coauthVersionMax="47" xr10:uidLastSave="{9366B502-D377-4867-9A9D-4E4D2C45B139}"/>
  <bookViews>
    <workbookView xWindow="0" yWindow="380" windowWidth="19200" windowHeight="11280" xr2:uid="{17D76755-F306-4AE7-9C5A-FB5211E96DE3}"/>
  </bookViews>
  <sheets>
    <sheet name="Diss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D45" i="1"/>
  <c r="E45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30" i="1"/>
  <c r="E30" i="1" s="1"/>
  <c r="D15" i="1"/>
  <c r="D16" i="1"/>
  <c r="D17" i="1"/>
  <c r="D18" i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14" i="1"/>
  <c r="D47" i="1"/>
  <c r="D48" i="1"/>
  <c r="E48" i="1" s="1"/>
  <c r="D49" i="1"/>
  <c r="E49" i="1" s="1"/>
  <c r="D50" i="1"/>
  <c r="D51" i="1"/>
  <c r="D52" i="1"/>
  <c r="D53" i="1"/>
  <c r="D54" i="1"/>
  <c r="D55" i="1"/>
  <c r="D56" i="1"/>
  <c r="D57" i="1"/>
  <c r="E47" i="1"/>
  <c r="D46" i="1"/>
  <c r="E46" i="1" s="1"/>
  <c r="E66" i="1"/>
  <c r="E67" i="1"/>
  <c r="E68" i="1"/>
  <c r="E69" i="1"/>
  <c r="E70" i="1"/>
  <c r="E71" i="1"/>
  <c r="E72" i="1"/>
  <c r="E73" i="1"/>
  <c r="E62" i="1"/>
  <c r="E63" i="1"/>
  <c r="E64" i="1"/>
  <c r="E65" i="1"/>
  <c r="E61" i="1"/>
  <c r="E57" i="1"/>
  <c r="E56" i="1"/>
  <c r="E55" i="1"/>
  <c r="E54" i="1"/>
  <c r="E53" i="1"/>
  <c r="E52" i="1"/>
  <c r="E51" i="1"/>
  <c r="E50" i="1"/>
  <c r="I45" i="1"/>
  <c r="I30" i="1"/>
  <c r="I14" i="1"/>
  <c r="E18" i="1"/>
  <c r="E17" i="1"/>
  <c r="E16" i="1"/>
  <c r="E15" i="1"/>
  <c r="E14" i="1"/>
  <c r="F57" i="1" l="1"/>
  <c r="G57" i="1"/>
  <c r="F56" i="1"/>
  <c r="G56" i="1"/>
  <c r="F55" i="1"/>
  <c r="G55" i="1"/>
  <c r="F54" i="1"/>
  <c r="G54" i="1"/>
  <c r="G53" i="1"/>
  <c r="F53" i="1"/>
  <c r="G52" i="1"/>
  <c r="F52" i="1"/>
  <c r="G51" i="1"/>
  <c r="F51" i="1"/>
  <c r="F50" i="1"/>
  <c r="G50" i="1"/>
  <c r="F49" i="1"/>
  <c r="G49" i="1"/>
  <c r="F48" i="1"/>
  <c r="G48" i="1"/>
  <c r="F47" i="1"/>
  <c r="G47" i="1"/>
  <c r="F46" i="1"/>
  <c r="H46" i="1" s="1"/>
  <c r="G46" i="1"/>
  <c r="F45" i="1"/>
  <c r="G45" i="1"/>
  <c r="F42" i="1"/>
  <c r="G42" i="1"/>
  <c r="F41" i="1"/>
  <c r="G41" i="1"/>
  <c r="F40" i="1"/>
  <c r="G40" i="1"/>
  <c r="F39" i="1"/>
  <c r="G39" i="1"/>
  <c r="F38" i="1"/>
  <c r="G38" i="1"/>
  <c r="F37" i="1"/>
  <c r="G37" i="1"/>
  <c r="F36" i="1"/>
  <c r="G36" i="1"/>
  <c r="F35" i="1"/>
  <c r="G35" i="1"/>
  <c r="F34" i="1"/>
  <c r="G34" i="1"/>
  <c r="F33" i="1"/>
  <c r="G33" i="1"/>
  <c r="F32" i="1"/>
  <c r="G32" i="1"/>
  <c r="F31" i="1"/>
  <c r="G31" i="1"/>
  <c r="F30" i="1"/>
  <c r="G30" i="1"/>
  <c r="F26" i="1"/>
  <c r="G26" i="1"/>
  <c r="F25" i="1"/>
  <c r="G25" i="1"/>
  <c r="F24" i="1"/>
  <c r="G24" i="1"/>
  <c r="F23" i="1"/>
  <c r="G23" i="1"/>
  <c r="F22" i="1"/>
  <c r="G22" i="1"/>
  <c r="F21" i="1"/>
  <c r="G21" i="1"/>
  <c r="F20" i="1"/>
  <c r="G20" i="1"/>
  <c r="F19" i="1"/>
  <c r="G19" i="1"/>
  <c r="F18" i="1"/>
  <c r="G18" i="1"/>
  <c r="F17" i="1"/>
  <c r="G17" i="1"/>
  <c r="F16" i="1"/>
  <c r="G16" i="1"/>
  <c r="F15" i="1"/>
  <c r="G15" i="1"/>
  <c r="F14" i="1"/>
  <c r="G14" i="1"/>
  <c r="H31" i="1" l="1"/>
  <c r="I31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32" i="1"/>
  <c r="I32" i="1" s="1"/>
  <c r="H33" i="1"/>
  <c r="I33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34" i="1"/>
  <c r="I34" i="1" s="1"/>
  <c r="I46" i="1"/>
  <c r="H19" i="1"/>
  <c r="I19" i="1" s="1"/>
  <c r="H18" i="1"/>
  <c r="I18" i="1" s="1"/>
  <c r="H17" i="1"/>
  <c r="I17" i="1" s="1"/>
  <c r="H16" i="1"/>
  <c r="I16" i="1" s="1"/>
  <c r="H15" i="1"/>
  <c r="I15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N3" i="1"/>
</calcChain>
</file>

<file path=xl/sharedStrings.xml><?xml version="1.0" encoding="utf-8"?>
<sst xmlns="http://schemas.openxmlformats.org/spreadsheetml/2006/main" count="46" uniqueCount="24">
  <si>
    <t>DICLOFENAC SODIUM SR TABLET - DISSOLUTION RELEASE STUDY</t>
  </si>
  <si>
    <t>1. Dissolution Test Parameters</t>
  </si>
  <si>
    <t>Dilution Factor (DF)</t>
  </si>
  <si>
    <t>2. Release Study (F1 Trail 1)</t>
  </si>
  <si>
    <t>Time
(min)</t>
  </si>
  <si>
    <t>Slope
(AU per µg/mL)</t>
  </si>
  <si>
    <t>Absorbance
(Abs)</t>
  </si>
  <si>
    <t>Conc in Cell
(µg/mL)</t>
  </si>
  <si>
    <t>Conc in Vessel
(µg/mL)</t>
  </si>
  <si>
    <t>Amount in Vessel
(mg)</t>
  </si>
  <si>
    <t>Amount Loss
(mg)</t>
  </si>
  <si>
    <t>Cumulative Amt
(mg)</t>
  </si>
  <si>
    <t>% Cumulative
Release</t>
  </si>
  <si>
    <t>Dissolution Medium Volume (V) mL</t>
  </si>
  <si>
    <t>Sampling Volume (Vs) mL</t>
  </si>
  <si>
    <t>Label Claim mg / Target Dose (D)</t>
  </si>
  <si>
    <t xml:space="preserve">In-Vitro Dissolution Data &amp; Cumulative Drug Release Calculation </t>
  </si>
  <si>
    <t>AVG % Cumulative Release</t>
  </si>
  <si>
    <t>λₘₐₓ = 276</t>
  </si>
  <si>
    <t>Concentration (µg/mL)</t>
  </si>
  <si>
    <t>T1</t>
  </si>
  <si>
    <t>T2</t>
  </si>
  <si>
    <t>T3</t>
  </si>
  <si>
    <t>Avg Absorbane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</si>
</sst>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0"/>
    <numFmt numFmtId="166" formatCode="0.000"/>
    <numFmt numFmtId="167" formatCode="0.00&quot;%&quot;"/>
  </numFmts>
  <fonts count="8" x14ac:knownFonts="1">
    <font>
      <sz val="11"/>
      <color theme="1"/>
      <name val="Aptos Narrow"/>
      <family val="2"/>
      <scheme val="minor"/>
    </font>
    <font>
      <b/>
      <sz val="12"/>
      <color rgb="FF1F497D"/>
      <name val="Calibri"/>
      <family val="2"/>
    </font>
    <font>
      <sz val="12"/>
      <color theme="1"/>
      <name val="Calibri"/>
      <family val="2"/>
    </font>
    <font>
      <i/>
      <sz val="12"/>
      <color rgb="FF595959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3" fontId="4" fillId="4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In-Vitro Dissolution Profile of Diclofenac Sodium SR Tablet</a:t>
            </a:r>
          </a:p>
          <a:p>
            <a:pPr>
              <a:defRPr/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156804461942256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44203849518812"/>
          <c:y val="0.22402777777777777"/>
          <c:w val="0.76600240594925639"/>
          <c:h val="0.55688283756197132"/>
        </c:manualLayout>
      </c:layout>
      <c:scatterChart>
        <c:scatterStyle val="lineMarker"/>
        <c:varyColors val="0"/>
        <c:ser>
          <c:idx val="0"/>
          <c:order val="0"/>
          <c:tx>
            <c:strRef>
              <c:f>Disso!$E$60</c:f>
              <c:strCache>
                <c:ptCount val="1"/>
                <c:pt idx="0">
                  <c:v>AVG % Cumulative Release</c:v>
                </c:pt>
              </c:strCache>
            </c:strRef>
          </c:tx>
          <c:spPr>
            <a:ln w="254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Disso!$A$61:$A$73</c:f>
              <c:numCache>
                <c:formatCode>#,##0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60</c:v>
                </c:pt>
                <c:pt idx="8">
                  <c:v>120</c:v>
                </c:pt>
                <c:pt idx="9">
                  <c:v>180</c:v>
                </c:pt>
                <c:pt idx="10">
                  <c:v>240</c:v>
                </c:pt>
                <c:pt idx="11">
                  <c:v>300</c:v>
                </c:pt>
                <c:pt idx="12">
                  <c:v>360</c:v>
                </c:pt>
              </c:numCache>
            </c:numRef>
          </c:xVal>
          <c:yVal>
            <c:numRef>
              <c:f>Disso!$E$61:$E$73</c:f>
              <c:numCache>
                <c:formatCode>General</c:formatCode>
                <c:ptCount val="13"/>
                <c:pt idx="0">
                  <c:v>0</c:v>
                </c:pt>
                <c:pt idx="1">
                  <c:v>1.255132850241546</c:v>
                </c:pt>
                <c:pt idx="2">
                  <c:v>2.289553140096618</c:v>
                </c:pt>
                <c:pt idx="3">
                  <c:v>2.6826690821256043</c:v>
                </c:pt>
                <c:pt idx="4">
                  <c:v>4.3278985507246377</c:v>
                </c:pt>
                <c:pt idx="5">
                  <c:v>4.9495772946859899</c:v>
                </c:pt>
                <c:pt idx="6">
                  <c:v>5.9006642512077292</c:v>
                </c:pt>
                <c:pt idx="7">
                  <c:v>25.661231884057973</c:v>
                </c:pt>
                <c:pt idx="8">
                  <c:v>35.585748792270529</c:v>
                </c:pt>
                <c:pt idx="9">
                  <c:v>45.727657004830924</c:v>
                </c:pt>
                <c:pt idx="10">
                  <c:v>55.870471014492757</c:v>
                </c:pt>
                <c:pt idx="11">
                  <c:v>61.285628019323674</c:v>
                </c:pt>
                <c:pt idx="12">
                  <c:v>71.185688405797109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F-4881-B07E-0C54B7F80368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1159589311"/>
        <c:axId val="1444793743"/>
      </c:scatterChart>
      <c:valAx>
        <c:axId val="115958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  <a:p>
                <a:pPr>
                  <a:defRPr/>
                </a:pP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50823514155579441"/>
              <c:y val="0.8410942971751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93743"/>
        <c:crosses val="autoZero"/>
        <c:crossBetween val="midCat"/>
      </c:valAx>
      <c:valAx>
        <c:axId val="144479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Cumulative Drug Released</a:t>
                </a:r>
              </a:p>
              <a:p>
                <a:pPr>
                  <a:defRPr/>
                </a:pPr>
                <a:endParaRPr lang="en-IN" sz="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3677184092501151E-2"/>
              <c:y val="0.264596359417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8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Calibration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curve od of Diclofenac Sodium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959452161556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8386664432902"/>
          <c:y val="0.18142857142857144"/>
          <c:w val="0.83423102697269225"/>
          <c:h val="0.62038920134983122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[1]Sheet1!$E$2</c:f>
              <c:strCache>
                <c:ptCount val="1"/>
                <c:pt idx="0">
                  <c:v>Avg Absorbane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6366078907689733"/>
                  <c:y val="3.7622797150356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[1]Sheet1!$A$3:$A$8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[1]Sheet1!$E$3:$E$8</c:f>
              <c:numCache>
                <c:formatCode>General</c:formatCode>
                <c:ptCount val="6"/>
                <c:pt idx="0">
                  <c:v>0</c:v>
                </c:pt>
                <c:pt idx="1">
                  <c:v>0.15766666666666665</c:v>
                </c:pt>
                <c:pt idx="2">
                  <c:v>0.24233333333333332</c:v>
                </c:pt>
                <c:pt idx="3">
                  <c:v>0.31433333333333335</c:v>
                </c:pt>
                <c:pt idx="4">
                  <c:v>0.39799999999999996</c:v>
                </c:pt>
                <c:pt idx="5">
                  <c:v>0.48599999999999999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5-405C-8009-51C93D7B4208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1653634559"/>
        <c:axId val="1444801903"/>
      </c:scatterChart>
      <c:valAx>
        <c:axId val="165363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Concentration (µg/mL)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01903"/>
        <c:crosses val="autoZero"/>
        <c:crossBetween val="midCat"/>
      </c:valAx>
      <c:valAx>
        <c:axId val="144480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Absorbane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63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177800</xdr:colOff>
      <xdr:row>58</xdr:row>
      <xdr:rowOff>193675</xdr:rowOff>
    </xdr:from>
    <xdr:to>
      <xdr:col>14</xdr:col>
      <xdr:colOff>241300</xdr:colOff>
      <xdr:row>73</xdr:row>
      <xdr:rowOff>12701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51460E-0E96-1FCF-4D36-3B0EFF25D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220475</xdr:colOff>
      <xdr:row>0</xdr:row>
      <xdr:rowOff>59070</xdr:rowOff>
    </xdr:from>
    <xdr:to>
      <xdr:col>24</xdr:col>
      <xdr:colOff>98584</xdr:colOff>
      <xdr:row>12</xdr:row>
      <xdr:rowOff>330117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ADC9BD-F90E-4612-852E-75698A7C5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10937d0c61f3a4c/Documents/diclo%20SR%20DISSO.xlsm" TargetMode="External"/><Relationship Id="rId1" Type="http://schemas.openxmlformats.org/officeDocument/2006/relationships/externalLinkPath" Target="diclo%20SR%20DISS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E2" t="str">
            <v>Avg Absorbane</v>
          </cell>
        </row>
        <row r="3">
          <cell r="A3">
            <v>0</v>
          </cell>
          <cell r="E3">
            <v>0</v>
          </cell>
        </row>
        <row r="4">
          <cell r="A4">
            <v>2</v>
          </cell>
          <cell r="E4">
            <v>0.15766666666666665</v>
          </cell>
        </row>
        <row r="5">
          <cell r="A5">
            <v>4</v>
          </cell>
          <cell r="E5">
            <v>0.24233333333333332</v>
          </cell>
        </row>
        <row r="6">
          <cell r="A6">
            <v>6</v>
          </cell>
          <cell r="E6">
            <v>0.31433333333333335</v>
          </cell>
        </row>
        <row r="7">
          <cell r="A7">
            <v>8</v>
          </cell>
          <cell r="E7">
            <v>0.39799999999999996</v>
          </cell>
        </row>
        <row r="8">
          <cell r="A8">
            <v>10</v>
          </cell>
          <cell r="E8">
            <v>0.48599999999999999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339E-55DD-42F3-9A03-CAA25186FDC5}">
  <sheetPr codeName="Sheet1"/>
  <dimension ref="A1:N73"/>
  <sheetViews>
    <sheetView tabSelected="1" topLeftCell="A18" zoomScale="43" zoomScaleNormal="138" workbookViewId="0">
      <selection activeCell="M26" sqref="M26"/>
    </sheetView>
  </sheetViews>
  <sheetFormatPr defaultRowHeight="15.5" x14ac:dyDescent="0.35"/>
  <cols>
    <col min="1" max="1" width="73.7265625" style="9" bestFit="1" customWidth="1"/>
    <col min="2" max="4" width="8.90625" style="9" bestFit="1" customWidth="1"/>
    <col min="5" max="5" width="27.6328125" style="9" bestFit="1" customWidth="1"/>
    <col min="6" max="7" width="8.26953125" style="9" bestFit="1" customWidth="1"/>
    <col min="8" max="8" width="7.90625" style="9" bestFit="1" customWidth="1"/>
    <col min="9" max="9" width="8" style="9" bestFit="1" customWidth="1"/>
    <col min="10" max="10" width="20.6328125" style="9" bestFit="1" customWidth="1"/>
    <col min="11" max="13" width="8.7265625" style="9"/>
    <col min="14" max="14" width="15.08984375" style="9" bestFit="1" customWidth="1"/>
    <col min="15" max="16384" width="8.7265625" style="9"/>
  </cols>
  <sheetData>
    <row r="1" spans="1:14" x14ac:dyDescent="0.35">
      <c r="A1" s="8" t="s">
        <v>0</v>
      </c>
      <c r="J1" s="10" t="s">
        <v>18</v>
      </c>
    </row>
    <row r="2" spans="1:14" x14ac:dyDescent="0.35">
      <c r="A2" s="11" t="s">
        <v>16</v>
      </c>
      <c r="J2" s="12" t="s">
        <v>19</v>
      </c>
      <c r="K2" s="12" t="s">
        <v>20</v>
      </c>
      <c r="L2" s="12" t="s">
        <v>21</v>
      </c>
      <c r="M2" s="12" t="s">
        <v>22</v>
      </c>
      <c r="N2" s="12" t="s">
        <v>23</v>
      </c>
    </row>
    <row r="3" spans="1:14" x14ac:dyDescent="0.35">
      <c r="J3" s="7">
        <v>0</v>
      </c>
      <c r="K3" s="7">
        <v>0</v>
      </c>
      <c r="L3" s="7">
        <v>0</v>
      </c>
      <c r="M3" s="7">
        <v>0</v>
      </c>
      <c r="N3" s="7">
        <f ca="1">AVERAGE(K3:N3)</f>
        <v>0</v>
      </c>
    </row>
    <row r="4" spans="1:14" x14ac:dyDescent="0.35">
      <c r="A4" s="8" t="s">
        <v>1</v>
      </c>
      <c r="J4" s="7">
        <v>2</v>
      </c>
      <c r="K4" s="7">
        <v>0.16900000000000001</v>
      </c>
      <c r="L4" s="7">
        <v>0.14799999999999999</v>
      </c>
      <c r="M4" s="7">
        <v>0.156</v>
      </c>
      <c r="N4" s="7">
        <f>AVERAGE(K4:M4)</f>
        <v>0.15766666666666665</v>
      </c>
    </row>
    <row r="5" spans="1:14" x14ac:dyDescent="0.35">
      <c r="A5" s="13" t="s">
        <v>13</v>
      </c>
      <c r="B5" s="14">
        <v>900</v>
      </c>
      <c r="C5" s="15"/>
      <c r="J5" s="7">
        <v>4</v>
      </c>
      <c r="K5" s="7">
        <v>0.251</v>
      </c>
      <c r="L5" s="7">
        <v>0.23200000000000001</v>
      </c>
      <c r="M5" s="7">
        <v>0.24399999999999999</v>
      </c>
      <c r="N5" s="7">
        <f t="shared" ref="N5:N8" si="0">AVERAGE(K5:M5)</f>
        <v>0.24233333333333332</v>
      </c>
    </row>
    <row r="6" spans="1:14" x14ac:dyDescent="0.35">
      <c r="A6" s="13" t="s">
        <v>14</v>
      </c>
      <c r="B6" s="14">
        <v>5</v>
      </c>
      <c r="C6" s="15"/>
      <c r="J6" s="7">
        <v>6</v>
      </c>
      <c r="K6" s="7">
        <v>0.32300000000000001</v>
      </c>
      <c r="L6" s="7">
        <v>0.316</v>
      </c>
      <c r="M6" s="7">
        <v>0.30399999999999999</v>
      </c>
      <c r="N6" s="7">
        <f t="shared" si="0"/>
        <v>0.31433333333333335</v>
      </c>
    </row>
    <row r="7" spans="1:14" x14ac:dyDescent="0.35">
      <c r="A7" s="13" t="s">
        <v>2</v>
      </c>
      <c r="B7" s="16">
        <v>10</v>
      </c>
      <c r="C7" s="15"/>
      <c r="K7" s="7">
        <v>0.40699999999999997</v>
      </c>
      <c r="L7" s="7">
        <v>0.39800000000000002</v>
      </c>
      <c r="M7" s="7">
        <v>0.38900000000000001</v>
      </c>
      <c r="N7" s="7">
        <f t="shared" si="0"/>
        <v>0.39799999999999996</v>
      </c>
    </row>
    <row r="8" spans="1:14" x14ac:dyDescent="0.35">
      <c r="A8" s="13" t="s">
        <v>15</v>
      </c>
      <c r="B8" s="14">
        <v>100</v>
      </c>
      <c r="C8" s="15"/>
      <c r="J8" s="7">
        <v>8</v>
      </c>
      <c r="K8" s="7">
        <v>0.47299999999999998</v>
      </c>
      <c r="L8" s="7">
        <v>0.48799999999999999</v>
      </c>
      <c r="M8" s="7">
        <v>0.497</v>
      </c>
      <c r="N8" s="7">
        <f t="shared" si="0"/>
        <v>0.48599999999999999</v>
      </c>
    </row>
    <row r="11" spans="1:14" x14ac:dyDescent="0.35">
      <c r="A11" s="8" t="s">
        <v>3</v>
      </c>
    </row>
    <row r="13" spans="1:14" ht="62" x14ac:dyDescent="0.35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</row>
    <row r="14" spans="1:14" x14ac:dyDescent="0.35">
      <c r="A14" s="2">
        <v>0</v>
      </c>
      <c r="B14" s="17">
        <v>5.5199999999999999E-2</v>
      </c>
      <c r="C14" s="18">
        <v>0</v>
      </c>
      <c r="D14" s="17">
        <f>(C14/B14)</f>
        <v>0</v>
      </c>
      <c r="E14" s="17">
        <f t="shared" ref="E14:E26" si="1">D14*$B$7</f>
        <v>0</v>
      </c>
      <c r="F14" s="17">
        <f t="shared" ref="F14:F26" si="2">(E14*$B$5)/1000</f>
        <v>0</v>
      </c>
      <c r="G14" s="17">
        <f t="shared" ref="G14:G26" si="3">(E14*$B$6)/1000</f>
        <v>0</v>
      </c>
      <c r="H14" s="17">
        <v>0</v>
      </c>
      <c r="I14" s="3">
        <f>H14*B8/100</f>
        <v>0</v>
      </c>
    </row>
    <row r="15" spans="1:14" x14ac:dyDescent="0.35">
      <c r="A15" s="4">
        <v>5</v>
      </c>
      <c r="B15" s="19">
        <v>5.5199999999999999E-2</v>
      </c>
      <c r="C15" s="20">
        <v>6.0000000000000001E-3</v>
      </c>
      <c r="D15" s="17">
        <f t="shared" ref="D15:D26" si="4">(C15/B15)</f>
        <v>0.10869565217391305</v>
      </c>
      <c r="E15" s="19">
        <f t="shared" si="1"/>
        <v>1.0869565217391306</v>
      </c>
      <c r="F15" s="19">
        <f t="shared" si="2"/>
        <v>0.97826086956521752</v>
      </c>
      <c r="G15" s="19">
        <f t="shared" si="3"/>
        <v>5.4347826086956529E-3</v>
      </c>
      <c r="H15" s="19">
        <f>F15+SUM($G$14:G14)</f>
        <v>0.97826086956521752</v>
      </c>
      <c r="I15" s="21">
        <f>(H15/$B$8)*100</f>
        <v>0.97826086956521752</v>
      </c>
    </row>
    <row r="16" spans="1:14" x14ac:dyDescent="0.35">
      <c r="A16" s="2">
        <v>10</v>
      </c>
      <c r="B16" s="17">
        <v>5.5199999999999999E-2</v>
      </c>
      <c r="C16" s="18">
        <v>1.0999999999999999E-2</v>
      </c>
      <c r="D16" s="17">
        <f t="shared" si="4"/>
        <v>0.19927536231884058</v>
      </c>
      <c r="E16" s="17">
        <f t="shared" si="1"/>
        <v>1.9927536231884058</v>
      </c>
      <c r="F16" s="17">
        <f t="shared" si="2"/>
        <v>1.7934782608695652</v>
      </c>
      <c r="G16" s="17">
        <f t="shared" si="3"/>
        <v>9.9637681159420299E-3</v>
      </c>
      <c r="H16" s="17">
        <f>F16+SUM($G$14:G15)</f>
        <v>1.7989130434782608</v>
      </c>
      <c r="I16" s="22">
        <f>(H16/$B$8)*100</f>
        <v>1.7989130434782608</v>
      </c>
    </row>
    <row r="17" spans="1:9" x14ac:dyDescent="0.35">
      <c r="A17" s="4">
        <v>15</v>
      </c>
      <c r="B17" s="19">
        <v>5.5199999999999999E-2</v>
      </c>
      <c r="C17" s="20">
        <v>1.4999999999999999E-2</v>
      </c>
      <c r="D17" s="17">
        <f t="shared" si="4"/>
        <v>0.27173913043478259</v>
      </c>
      <c r="E17" s="19">
        <f t="shared" si="1"/>
        <v>2.7173913043478262</v>
      </c>
      <c r="F17" s="19">
        <f t="shared" si="2"/>
        <v>2.4456521739130435</v>
      </c>
      <c r="G17" s="19">
        <f t="shared" si="3"/>
        <v>1.358695652173913E-2</v>
      </c>
      <c r="H17" s="19">
        <f>F17+SUM($G$14:G16)</f>
        <v>2.4610507246376812</v>
      </c>
      <c r="I17" s="22">
        <f t="shared" ref="I17:I26" si="5">(H17/$B$8)*100</f>
        <v>2.4610507246376812</v>
      </c>
    </row>
    <row r="18" spans="1:9" x14ac:dyDescent="0.35">
      <c r="A18" s="2">
        <v>20</v>
      </c>
      <c r="B18" s="17">
        <v>5.5199999999999999E-2</v>
      </c>
      <c r="C18" s="18">
        <v>2.4E-2</v>
      </c>
      <c r="D18" s="17">
        <f t="shared" si="4"/>
        <v>0.43478260869565222</v>
      </c>
      <c r="E18" s="17">
        <f t="shared" si="1"/>
        <v>4.3478260869565224</v>
      </c>
      <c r="F18" s="17">
        <f t="shared" si="2"/>
        <v>3.9130434782608701</v>
      </c>
      <c r="G18" s="17">
        <f t="shared" si="3"/>
        <v>2.1739130434782612E-2</v>
      </c>
      <c r="H18" s="17">
        <f>F18+SUM($G$14:G17)</f>
        <v>3.942028985507247</v>
      </c>
      <c r="I18" s="22">
        <f t="shared" si="5"/>
        <v>3.942028985507247</v>
      </c>
    </row>
    <row r="19" spans="1:9" x14ac:dyDescent="0.35">
      <c r="A19" s="4">
        <v>25</v>
      </c>
      <c r="B19" s="19">
        <v>5.5199999999999999E-2</v>
      </c>
      <c r="C19" s="20">
        <v>0.03</v>
      </c>
      <c r="D19" s="17">
        <f t="shared" si="4"/>
        <v>0.54347826086956519</v>
      </c>
      <c r="E19" s="19">
        <f t="shared" si="1"/>
        <v>5.4347826086956523</v>
      </c>
      <c r="F19" s="19">
        <f t="shared" si="2"/>
        <v>4.8913043478260869</v>
      </c>
      <c r="G19" s="19">
        <f t="shared" si="3"/>
        <v>2.717391304347826E-2</v>
      </c>
      <c r="H19" s="19">
        <f>F19+SUM($G$14:G18)</f>
        <v>4.9420289855072461</v>
      </c>
      <c r="I19" s="22">
        <f t="shared" si="5"/>
        <v>4.9420289855072461</v>
      </c>
    </row>
    <row r="20" spans="1:9" x14ac:dyDescent="0.35">
      <c r="A20" s="2">
        <v>30</v>
      </c>
      <c r="B20" s="17">
        <v>5.5199999999999999E-2</v>
      </c>
      <c r="C20" s="18">
        <v>3.5999999999999997E-2</v>
      </c>
      <c r="D20" s="17">
        <f t="shared" si="4"/>
        <v>0.65217391304347827</v>
      </c>
      <c r="E20" s="17">
        <f t="shared" si="1"/>
        <v>6.5217391304347831</v>
      </c>
      <c r="F20" s="17">
        <f t="shared" si="2"/>
        <v>5.8695652173913047</v>
      </c>
      <c r="G20" s="17">
        <f t="shared" si="3"/>
        <v>3.2608695652173912E-2</v>
      </c>
      <c r="H20" s="17">
        <f>F20+SUM($G$14:G19)</f>
        <v>5.9474637681159424</v>
      </c>
      <c r="I20" s="22">
        <f t="shared" si="5"/>
        <v>5.9474637681159424</v>
      </c>
    </row>
    <row r="21" spans="1:9" x14ac:dyDescent="0.35">
      <c r="A21" s="4">
        <v>60</v>
      </c>
      <c r="B21" s="19">
        <v>5.5199999999999999E-2</v>
      </c>
      <c r="C21" s="20">
        <v>0.153</v>
      </c>
      <c r="D21" s="17">
        <f t="shared" si="4"/>
        <v>2.7717391304347827</v>
      </c>
      <c r="E21" s="19">
        <f t="shared" si="1"/>
        <v>27.717391304347828</v>
      </c>
      <c r="F21" s="19">
        <f t="shared" si="2"/>
        <v>24.945652173913043</v>
      </c>
      <c r="G21" s="19">
        <f t="shared" si="3"/>
        <v>0.13858695652173914</v>
      </c>
      <c r="H21" s="19">
        <f>F21+SUM($G$14:G20)</f>
        <v>25.056159420289855</v>
      </c>
      <c r="I21" s="22">
        <f t="shared" si="5"/>
        <v>25.056159420289852</v>
      </c>
    </row>
    <row r="22" spans="1:9" x14ac:dyDescent="0.35">
      <c r="A22" s="2">
        <v>120</v>
      </c>
      <c r="B22" s="17">
        <v>5.5199999999999999E-2</v>
      </c>
      <c r="C22" s="18">
        <v>0.215</v>
      </c>
      <c r="D22" s="17">
        <f t="shared" si="4"/>
        <v>3.8949275362318843</v>
      </c>
      <c r="E22" s="17">
        <f t="shared" si="1"/>
        <v>38.949275362318843</v>
      </c>
      <c r="F22" s="17">
        <f t="shared" si="2"/>
        <v>35.054347826086961</v>
      </c>
      <c r="G22" s="17">
        <f t="shared" si="3"/>
        <v>0.19474637681159421</v>
      </c>
      <c r="H22" s="17">
        <f>F22+SUM($G$14:G21)</f>
        <v>35.303442028985508</v>
      </c>
      <c r="I22" s="22">
        <f t="shared" si="5"/>
        <v>35.303442028985508</v>
      </c>
    </row>
    <row r="23" spans="1:9" x14ac:dyDescent="0.35">
      <c r="A23" s="4">
        <v>180</v>
      </c>
      <c r="B23" s="19">
        <v>5.5199999999999999E-2</v>
      </c>
      <c r="C23" s="20">
        <v>0.27600000000000002</v>
      </c>
      <c r="D23" s="17">
        <f t="shared" si="4"/>
        <v>5.0000000000000009</v>
      </c>
      <c r="E23" s="19">
        <f t="shared" si="1"/>
        <v>50.000000000000007</v>
      </c>
      <c r="F23" s="19">
        <f t="shared" si="2"/>
        <v>45.000000000000007</v>
      </c>
      <c r="G23" s="19">
        <f t="shared" si="3"/>
        <v>0.25000000000000006</v>
      </c>
      <c r="H23" s="19">
        <f>F23+SUM($G$14:G22)</f>
        <v>45.443840579710155</v>
      </c>
      <c r="I23" s="22">
        <f t="shared" si="5"/>
        <v>45.443840579710155</v>
      </c>
    </row>
    <row r="24" spans="1:9" x14ac:dyDescent="0.35">
      <c r="A24" s="2">
        <v>240</v>
      </c>
      <c r="B24" s="17">
        <v>5.5199999999999999E-2</v>
      </c>
      <c r="C24" s="18">
        <v>0.33700000000000002</v>
      </c>
      <c r="D24" s="17">
        <f t="shared" si="4"/>
        <v>6.1050724637681162</v>
      </c>
      <c r="E24" s="17">
        <f t="shared" si="1"/>
        <v>61.050724637681164</v>
      </c>
      <c r="F24" s="17">
        <f t="shared" si="2"/>
        <v>54.945652173913047</v>
      </c>
      <c r="G24" s="17">
        <f t="shared" si="3"/>
        <v>0.30525362318840582</v>
      </c>
      <c r="H24" s="17">
        <f>F24+SUM($G$14:G23)</f>
        <v>55.639492753623195</v>
      </c>
      <c r="I24" s="22">
        <f t="shared" si="5"/>
        <v>55.639492753623202</v>
      </c>
    </row>
    <row r="25" spans="1:9" x14ac:dyDescent="0.35">
      <c r="A25" s="4">
        <v>300</v>
      </c>
      <c r="B25" s="19">
        <v>5.5199999999999999E-2</v>
      </c>
      <c r="C25" s="20">
        <v>0.36799999999999999</v>
      </c>
      <c r="D25" s="17">
        <f t="shared" si="4"/>
        <v>6.666666666666667</v>
      </c>
      <c r="E25" s="19">
        <f t="shared" si="1"/>
        <v>66.666666666666671</v>
      </c>
      <c r="F25" s="19">
        <f t="shared" si="2"/>
        <v>60.000000000000007</v>
      </c>
      <c r="G25" s="19">
        <f t="shared" si="3"/>
        <v>0.33333333333333337</v>
      </c>
      <c r="H25" s="19">
        <f>F25+SUM($G$14:G24)</f>
        <v>60.999094202898561</v>
      </c>
      <c r="I25" s="22">
        <f t="shared" si="5"/>
        <v>60.999094202898561</v>
      </c>
    </row>
    <row r="26" spans="1:9" x14ac:dyDescent="0.35">
      <c r="A26" s="2">
        <v>360</v>
      </c>
      <c r="B26" s="17">
        <v>5.5199999999999999E-2</v>
      </c>
      <c r="C26" s="18">
        <v>0.42899999999999999</v>
      </c>
      <c r="D26" s="17">
        <f t="shared" si="4"/>
        <v>7.7717391304347823</v>
      </c>
      <c r="E26" s="17">
        <f t="shared" si="1"/>
        <v>77.717391304347828</v>
      </c>
      <c r="F26" s="17">
        <f t="shared" si="2"/>
        <v>69.945652173913047</v>
      </c>
      <c r="G26" s="17">
        <f t="shared" si="3"/>
        <v>0.38858695652173914</v>
      </c>
      <c r="H26" s="17">
        <f>F26+SUM($G$14:G25)</f>
        <v>71.278079710144937</v>
      </c>
      <c r="I26" s="22">
        <f t="shared" si="5"/>
        <v>71.278079710144937</v>
      </c>
    </row>
    <row r="27" spans="1:9" x14ac:dyDescent="0.35">
      <c r="I27" s="22"/>
    </row>
    <row r="29" spans="1:9" ht="62" x14ac:dyDescent="0.35">
      <c r="A29" s="1" t="s">
        <v>4</v>
      </c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  <c r="G29" s="1" t="s">
        <v>10</v>
      </c>
      <c r="H29" s="1" t="s">
        <v>11</v>
      </c>
      <c r="I29" s="1" t="s">
        <v>12</v>
      </c>
    </row>
    <row r="30" spans="1:9" x14ac:dyDescent="0.35">
      <c r="A30" s="2">
        <v>0</v>
      </c>
      <c r="B30" s="17">
        <v>5.5199999999999999E-2</v>
      </c>
      <c r="C30" s="18">
        <v>0</v>
      </c>
      <c r="D30" s="17">
        <f>(C30/B30)</f>
        <v>0</v>
      </c>
      <c r="E30" s="17">
        <f t="shared" ref="E30:E42" si="6">D30*$B$7</f>
        <v>0</v>
      </c>
      <c r="F30" s="17">
        <f t="shared" ref="F30:F42" si="7">(E30*$B$5)/1000</f>
        <v>0</v>
      </c>
      <c r="G30" s="17">
        <f t="shared" ref="G30:G42" si="8">(E30*$B$6)/1000</f>
        <v>0</v>
      </c>
      <c r="H30" s="17">
        <v>0</v>
      </c>
      <c r="I30" s="3">
        <f>H30*B24/100</f>
        <v>0</v>
      </c>
    </row>
    <row r="31" spans="1:9" x14ac:dyDescent="0.35">
      <c r="A31" s="4">
        <v>5</v>
      </c>
      <c r="B31" s="19">
        <v>5.5199999999999999E-2</v>
      </c>
      <c r="C31" s="20">
        <v>8.0000000000000002E-3</v>
      </c>
      <c r="D31" s="17">
        <f t="shared" ref="D31:D42" si="9">(C31/B31)</f>
        <v>0.14492753623188406</v>
      </c>
      <c r="E31" s="19">
        <f t="shared" si="6"/>
        <v>1.4492753623188406</v>
      </c>
      <c r="F31" s="19">
        <f t="shared" si="7"/>
        <v>1.3043478260869565</v>
      </c>
      <c r="G31" s="19">
        <f t="shared" si="8"/>
        <v>7.246376811594203E-3</v>
      </c>
      <c r="H31" s="19">
        <f>F31+SUM($G30:G$31)</f>
        <v>1.3115942028985508</v>
      </c>
      <c r="I31" s="21">
        <f>(H31/$B$8)*100</f>
        <v>1.3115942028985508</v>
      </c>
    </row>
    <row r="32" spans="1:9" x14ac:dyDescent="0.35">
      <c r="A32" s="2">
        <v>10</v>
      </c>
      <c r="B32" s="17">
        <v>5.5199999999999999E-2</v>
      </c>
      <c r="C32" s="18">
        <v>1.6E-2</v>
      </c>
      <c r="D32" s="17">
        <f t="shared" si="9"/>
        <v>0.28985507246376813</v>
      </c>
      <c r="E32" s="17">
        <f t="shared" si="6"/>
        <v>2.8985507246376812</v>
      </c>
      <c r="F32" s="17">
        <f t="shared" si="7"/>
        <v>2.6086956521739131</v>
      </c>
      <c r="G32" s="17">
        <f t="shared" si="8"/>
        <v>1.4492753623188406E-2</v>
      </c>
      <c r="H32" s="19">
        <f>F32+SUM($G31:G$31)</f>
        <v>2.6159420289855073</v>
      </c>
      <c r="I32" s="22">
        <f>(H32/$B$8)*100</f>
        <v>2.6159420289855073</v>
      </c>
    </row>
    <row r="33" spans="1:9" x14ac:dyDescent="0.35">
      <c r="A33" s="4">
        <v>15</v>
      </c>
      <c r="B33" s="19">
        <v>5.5199999999999999E-2</v>
      </c>
      <c r="C33" s="20">
        <v>1.9E-2</v>
      </c>
      <c r="D33" s="17">
        <f t="shared" si="9"/>
        <v>0.34420289855072461</v>
      </c>
      <c r="E33" s="19">
        <f t="shared" si="6"/>
        <v>3.4420289855072461</v>
      </c>
      <c r="F33" s="19">
        <f t="shared" si="7"/>
        <v>3.0978260869565215</v>
      </c>
      <c r="G33" s="19">
        <f t="shared" si="8"/>
        <v>1.7210144927536232E-2</v>
      </c>
      <c r="H33" s="19">
        <f>F33+SUM($G$31:G32)</f>
        <v>3.1195652173913042</v>
      </c>
      <c r="I33" s="22">
        <f t="shared" ref="I33:I42" si="10">(H33/$B$8)*100</f>
        <v>3.1195652173913042</v>
      </c>
    </row>
    <row r="34" spans="1:9" x14ac:dyDescent="0.35">
      <c r="A34" s="2">
        <v>20</v>
      </c>
      <c r="B34" s="17">
        <v>5.5199999999999999E-2</v>
      </c>
      <c r="C34" s="18">
        <v>2.8000000000000001E-2</v>
      </c>
      <c r="D34" s="17">
        <f t="shared" si="9"/>
        <v>0.50724637681159424</v>
      </c>
      <c r="E34" s="17">
        <f t="shared" si="6"/>
        <v>5.0724637681159424</v>
      </c>
      <c r="F34" s="17">
        <f t="shared" si="7"/>
        <v>4.5652173913043477</v>
      </c>
      <c r="G34" s="17">
        <f t="shared" si="8"/>
        <v>2.5362318840579712E-2</v>
      </c>
      <c r="H34" s="19">
        <f>F34+SUM($G$31:G33)</f>
        <v>4.6041666666666661</v>
      </c>
      <c r="I34" s="22">
        <f t="shared" si="10"/>
        <v>4.6041666666666661</v>
      </c>
    </row>
    <row r="35" spans="1:9" x14ac:dyDescent="0.35">
      <c r="A35" s="4">
        <v>25</v>
      </c>
      <c r="B35" s="19">
        <v>5.5199999999999999E-2</v>
      </c>
      <c r="C35" s="20">
        <v>0.03</v>
      </c>
      <c r="D35" s="17">
        <f t="shared" si="9"/>
        <v>0.54347826086956519</v>
      </c>
      <c r="E35" s="19">
        <f t="shared" si="6"/>
        <v>5.4347826086956523</v>
      </c>
      <c r="F35" s="19">
        <f t="shared" si="7"/>
        <v>4.8913043478260869</v>
      </c>
      <c r="G35" s="19">
        <f t="shared" si="8"/>
        <v>2.717391304347826E-2</v>
      </c>
      <c r="H35" s="19">
        <f>F35+SUM($G$31:G34)</f>
        <v>4.9556159420289854</v>
      </c>
      <c r="I35" s="22">
        <f t="shared" si="10"/>
        <v>4.9556159420289854</v>
      </c>
    </row>
    <row r="36" spans="1:9" x14ac:dyDescent="0.35">
      <c r="A36" s="2">
        <v>30</v>
      </c>
      <c r="B36" s="17">
        <v>5.5199999999999999E-2</v>
      </c>
      <c r="C36" s="18">
        <v>3.6999999999999998E-2</v>
      </c>
      <c r="D36" s="17">
        <f t="shared" si="9"/>
        <v>0.67028985507246375</v>
      </c>
      <c r="E36" s="17">
        <f t="shared" si="6"/>
        <v>6.7028985507246377</v>
      </c>
      <c r="F36" s="17">
        <f t="shared" si="7"/>
        <v>6.0326086956521738</v>
      </c>
      <c r="G36" s="17">
        <f t="shared" si="8"/>
        <v>3.3514492753623185E-2</v>
      </c>
      <c r="H36" s="19">
        <f>F36+SUM($G$31:G35)</f>
        <v>6.1240942028985508</v>
      </c>
      <c r="I36" s="22">
        <f t="shared" si="10"/>
        <v>6.1240942028985508</v>
      </c>
    </row>
    <row r="37" spans="1:9" x14ac:dyDescent="0.35">
      <c r="A37" s="4">
        <v>60</v>
      </c>
      <c r="B37" s="19">
        <v>5.5199999999999999E-2</v>
      </c>
      <c r="C37" s="20">
        <v>0.158</v>
      </c>
      <c r="D37" s="17">
        <f t="shared" si="9"/>
        <v>2.8623188405797104</v>
      </c>
      <c r="E37" s="19">
        <f t="shared" si="6"/>
        <v>28.623188405797105</v>
      </c>
      <c r="F37" s="19">
        <f t="shared" si="7"/>
        <v>25.760869565217394</v>
      </c>
      <c r="G37" s="19">
        <f t="shared" si="8"/>
        <v>0.14311594202898553</v>
      </c>
      <c r="H37" s="19">
        <f>F37+SUM($G$31:G36)</f>
        <v>25.885869565217394</v>
      </c>
      <c r="I37" s="22">
        <f t="shared" si="10"/>
        <v>25.885869565217394</v>
      </c>
    </row>
    <row r="38" spans="1:9" x14ac:dyDescent="0.35">
      <c r="A38" s="2">
        <v>120</v>
      </c>
      <c r="B38" s="17">
        <v>5.5199999999999999E-2</v>
      </c>
      <c r="C38" s="18">
        <v>0.219</v>
      </c>
      <c r="D38" s="17">
        <f t="shared" si="9"/>
        <v>3.9673913043478262</v>
      </c>
      <c r="E38" s="17">
        <f t="shared" si="6"/>
        <v>39.673913043478265</v>
      </c>
      <c r="F38" s="17">
        <f t="shared" si="7"/>
        <v>35.706521739130437</v>
      </c>
      <c r="G38" s="17">
        <f t="shared" si="8"/>
        <v>0.19836956521739132</v>
      </c>
      <c r="H38" s="19">
        <f>F38+SUM($G$31:G37)</f>
        <v>35.974637681159422</v>
      </c>
      <c r="I38" s="22">
        <f t="shared" si="10"/>
        <v>35.974637681159422</v>
      </c>
    </row>
    <row r="39" spans="1:9" x14ac:dyDescent="0.35">
      <c r="A39" s="4">
        <v>180</v>
      </c>
      <c r="B39" s="19">
        <v>5.5199999999999999E-2</v>
      </c>
      <c r="C39" s="20">
        <v>0.27900000000000003</v>
      </c>
      <c r="D39" s="17">
        <f t="shared" si="9"/>
        <v>5.054347826086957</v>
      </c>
      <c r="E39" s="19">
        <f t="shared" si="6"/>
        <v>50.54347826086957</v>
      </c>
      <c r="F39" s="19">
        <f t="shared" si="7"/>
        <v>45.489130434782616</v>
      </c>
      <c r="G39" s="19">
        <f t="shared" si="8"/>
        <v>0.25271739130434784</v>
      </c>
      <c r="H39" s="19">
        <f>F39+SUM($G$31:G38)</f>
        <v>45.955615942028992</v>
      </c>
      <c r="I39" s="22">
        <f t="shared" si="10"/>
        <v>45.955615942028992</v>
      </c>
    </row>
    <row r="40" spans="1:9" x14ac:dyDescent="0.35">
      <c r="A40" s="2">
        <v>240</v>
      </c>
      <c r="B40" s="17">
        <v>5.5199999999999999E-2</v>
      </c>
      <c r="C40" s="18">
        <v>0.33900000000000002</v>
      </c>
      <c r="D40" s="17">
        <f t="shared" si="9"/>
        <v>6.1413043478260878</v>
      </c>
      <c r="E40" s="17">
        <f t="shared" si="6"/>
        <v>61.413043478260875</v>
      </c>
      <c r="F40" s="17">
        <f t="shared" si="7"/>
        <v>55.271739130434781</v>
      </c>
      <c r="G40" s="17">
        <f t="shared" si="8"/>
        <v>0.30706521739130438</v>
      </c>
      <c r="H40" s="19">
        <f>F40+SUM($G$31:G39)</f>
        <v>55.990942028985508</v>
      </c>
      <c r="I40" s="22">
        <f t="shared" si="10"/>
        <v>55.990942028985515</v>
      </c>
    </row>
    <row r="41" spans="1:9" x14ac:dyDescent="0.35">
      <c r="A41" s="4">
        <v>300</v>
      </c>
      <c r="B41" s="19">
        <v>5.5199999999999999E-2</v>
      </c>
      <c r="C41" s="20">
        <v>0.372</v>
      </c>
      <c r="D41" s="17">
        <f t="shared" si="9"/>
        <v>6.7391304347826084</v>
      </c>
      <c r="E41" s="19">
        <f t="shared" si="6"/>
        <v>67.391304347826079</v>
      </c>
      <c r="F41" s="19">
        <f t="shared" si="7"/>
        <v>60.65217391304347</v>
      </c>
      <c r="G41" s="19">
        <f t="shared" si="8"/>
        <v>0.33695652173913038</v>
      </c>
      <c r="H41" s="19">
        <f>F41+SUM($G$31:G40)</f>
        <v>61.678442028985501</v>
      </c>
      <c r="I41" s="22">
        <f t="shared" si="10"/>
        <v>61.678442028985501</v>
      </c>
    </row>
    <row r="42" spans="1:9" x14ac:dyDescent="0.35">
      <c r="A42" s="2">
        <v>360</v>
      </c>
      <c r="B42" s="17">
        <v>5.5199999999999999E-2</v>
      </c>
      <c r="C42" s="18">
        <v>0.434</v>
      </c>
      <c r="D42" s="17">
        <f t="shared" si="9"/>
        <v>7.86231884057971</v>
      </c>
      <c r="E42" s="17">
        <f t="shared" si="6"/>
        <v>78.623188405797094</v>
      </c>
      <c r="F42" s="17">
        <f t="shared" si="7"/>
        <v>70.760869565217391</v>
      </c>
      <c r="G42" s="17">
        <f t="shared" si="8"/>
        <v>0.39311594202898548</v>
      </c>
      <c r="H42" s="19">
        <f>F42+SUM($G$31:G41)</f>
        <v>72.124094202898547</v>
      </c>
      <c r="I42" s="22">
        <f t="shared" si="10"/>
        <v>72.124094202898547</v>
      </c>
    </row>
    <row r="44" spans="1:9" ht="62" x14ac:dyDescent="0.35">
      <c r="A44" s="1" t="s">
        <v>4</v>
      </c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  <c r="G44" s="1" t="s">
        <v>10</v>
      </c>
      <c r="H44" s="1" t="s">
        <v>11</v>
      </c>
      <c r="I44" s="1" t="s">
        <v>12</v>
      </c>
    </row>
    <row r="45" spans="1:9" x14ac:dyDescent="0.35">
      <c r="A45" s="2">
        <v>0</v>
      </c>
      <c r="B45" s="17">
        <v>5.5199999999999999E-2</v>
      </c>
      <c r="C45" s="18">
        <v>0</v>
      </c>
      <c r="D45" s="17">
        <f>( C45/B45)</f>
        <v>0</v>
      </c>
      <c r="E45" s="17">
        <f t="shared" ref="E45:E57" si="11">D45*$B$7</f>
        <v>0</v>
      </c>
      <c r="F45" s="17">
        <f t="shared" ref="F45:F57" si="12">(E45*$B$5)/1000</f>
        <v>0</v>
      </c>
      <c r="G45" s="17">
        <f t="shared" ref="G45:G57" si="13">(E45*$B$6)/1000</f>
        <v>0</v>
      </c>
      <c r="H45" s="17">
        <v>0</v>
      </c>
      <c r="I45" s="3">
        <f>H45*B39/100</f>
        <v>0</v>
      </c>
    </row>
    <row r="46" spans="1:9" x14ac:dyDescent="0.35">
      <c r="A46" s="4">
        <v>5</v>
      </c>
      <c r="B46" s="19">
        <v>5.5199999999999999E-2</v>
      </c>
      <c r="C46" s="20">
        <v>8.9999999999999993E-3</v>
      </c>
      <c r="D46" s="19">
        <f>(C46/B46)</f>
        <v>0.16304347826086957</v>
      </c>
      <c r="E46" s="19">
        <f t="shared" si="11"/>
        <v>1.6304347826086958</v>
      </c>
      <c r="F46" s="19">
        <f t="shared" si="12"/>
        <v>1.4673913043478262</v>
      </c>
      <c r="G46" s="19">
        <f t="shared" si="13"/>
        <v>8.152173913043478E-3</v>
      </c>
      <c r="H46" s="19">
        <f>F46+SUM($G45:G$46)</f>
        <v>1.4755434782608696</v>
      </c>
      <c r="I46" s="21">
        <f>(H46/$B$8)*100</f>
        <v>1.4755434782608696</v>
      </c>
    </row>
    <row r="47" spans="1:9" x14ac:dyDescent="0.35">
      <c r="A47" s="2">
        <v>10</v>
      </c>
      <c r="B47" s="17">
        <v>5.5199999999999999E-2</v>
      </c>
      <c r="C47" s="18">
        <v>1.4999999999999999E-2</v>
      </c>
      <c r="D47" s="19">
        <f t="shared" ref="D47:D57" si="14">(C47/B47)</f>
        <v>0.27173913043478259</v>
      </c>
      <c r="E47" s="17">
        <f t="shared" si="11"/>
        <v>2.7173913043478262</v>
      </c>
      <c r="F47" s="17">
        <f t="shared" si="12"/>
        <v>2.4456521739130435</v>
      </c>
      <c r="G47" s="17">
        <f t="shared" si="13"/>
        <v>1.358695652173913E-2</v>
      </c>
      <c r="H47" s="19">
        <f>F47+SUM($G46:G$46)</f>
        <v>2.4538043478260869</v>
      </c>
      <c r="I47" s="22">
        <f>(H47/$B$8)*100</f>
        <v>2.4538043478260869</v>
      </c>
    </row>
    <row r="48" spans="1:9" x14ac:dyDescent="0.35">
      <c r="A48" s="4">
        <v>15</v>
      </c>
      <c r="B48" s="19">
        <v>5.5199999999999999E-2</v>
      </c>
      <c r="C48" s="20">
        <v>2.1999999999999999E-2</v>
      </c>
      <c r="D48" s="19">
        <f t="shared" si="14"/>
        <v>0.39855072463768115</v>
      </c>
      <c r="E48" s="19">
        <f t="shared" si="11"/>
        <v>3.9855072463768115</v>
      </c>
      <c r="F48" s="19">
        <f t="shared" si="12"/>
        <v>3.5869565217391304</v>
      </c>
      <c r="G48" s="19">
        <f t="shared" si="13"/>
        <v>1.992753623188406E-2</v>
      </c>
      <c r="H48" s="19">
        <f>F48+SUM($G$46:G47)</f>
        <v>3.6086956521739131</v>
      </c>
      <c r="I48" s="22">
        <f t="shared" ref="I48:I57" si="15">(H48/$B$8)*100</f>
        <v>3.6086956521739126</v>
      </c>
    </row>
    <row r="49" spans="1:9" x14ac:dyDescent="0.35">
      <c r="A49" s="2">
        <v>20</v>
      </c>
      <c r="B49" s="17">
        <v>5.5199999999999999E-2</v>
      </c>
      <c r="C49" s="18">
        <v>2.7E-2</v>
      </c>
      <c r="D49" s="19">
        <f t="shared" si="14"/>
        <v>0.4891304347826087</v>
      </c>
      <c r="E49" s="17">
        <f t="shared" si="11"/>
        <v>4.8913043478260869</v>
      </c>
      <c r="F49" s="17">
        <f t="shared" si="12"/>
        <v>4.4021739130434776</v>
      </c>
      <c r="G49" s="17">
        <f t="shared" si="13"/>
        <v>2.4456521739130432E-2</v>
      </c>
      <c r="H49" s="19">
        <f>F49+SUM($G$46:G48)</f>
        <v>4.4438405797101446</v>
      </c>
      <c r="I49" s="22">
        <f t="shared" si="15"/>
        <v>4.4438405797101446</v>
      </c>
    </row>
    <row r="50" spans="1:9" x14ac:dyDescent="0.35">
      <c r="A50" s="4">
        <v>25</v>
      </c>
      <c r="B50" s="19">
        <v>5.5199999999999999E-2</v>
      </c>
      <c r="C50" s="20">
        <v>0.03</v>
      </c>
      <c r="D50" s="19">
        <f t="shared" si="14"/>
        <v>0.54347826086956519</v>
      </c>
      <c r="E50" s="19">
        <f t="shared" si="11"/>
        <v>5.4347826086956523</v>
      </c>
      <c r="F50" s="19">
        <f t="shared" si="12"/>
        <v>4.8913043478260869</v>
      </c>
      <c r="G50" s="19">
        <f t="shared" si="13"/>
        <v>2.717391304347826E-2</v>
      </c>
      <c r="H50" s="19">
        <f>F50+SUM($G$46:G49)</f>
        <v>4.9574275362318838</v>
      </c>
      <c r="I50" s="22">
        <f t="shared" si="15"/>
        <v>4.9574275362318838</v>
      </c>
    </row>
    <row r="51" spans="1:9" x14ac:dyDescent="0.35">
      <c r="A51" s="2">
        <v>30</v>
      </c>
      <c r="B51" s="17">
        <v>5.5199999999999999E-2</v>
      </c>
      <c r="C51" s="18">
        <v>3.4000000000000002E-2</v>
      </c>
      <c r="D51" s="19">
        <f t="shared" si="14"/>
        <v>0.61594202898550732</v>
      </c>
      <c r="E51" s="17">
        <f t="shared" si="11"/>
        <v>6.1594202898550732</v>
      </c>
      <c r="F51" s="17">
        <f t="shared" si="12"/>
        <v>5.5434782608695663</v>
      </c>
      <c r="G51" s="17">
        <f t="shared" si="13"/>
        <v>3.0797101449275367E-2</v>
      </c>
      <c r="H51" s="19">
        <f>F51+SUM($G$46:G50)</f>
        <v>5.6367753623188417</v>
      </c>
      <c r="I51" s="22">
        <f t="shared" si="15"/>
        <v>5.6367753623188417</v>
      </c>
    </row>
    <row r="52" spans="1:9" x14ac:dyDescent="0.35">
      <c r="A52" s="4">
        <v>60</v>
      </c>
      <c r="B52" s="19">
        <v>5.5199999999999999E-2</v>
      </c>
      <c r="C52" s="20">
        <v>0.159</v>
      </c>
      <c r="D52" s="19">
        <f t="shared" si="14"/>
        <v>2.8804347826086958</v>
      </c>
      <c r="E52" s="19">
        <f t="shared" si="11"/>
        <v>28.804347826086957</v>
      </c>
      <c r="F52" s="19">
        <f t="shared" si="12"/>
        <v>25.923913043478262</v>
      </c>
      <c r="G52" s="19">
        <f t="shared" si="13"/>
        <v>0.14402173913043478</v>
      </c>
      <c r="H52" s="19">
        <f>F52+SUM($G$46:G51)</f>
        <v>26.048007246376812</v>
      </c>
      <c r="I52" s="22">
        <f t="shared" si="15"/>
        <v>26.048007246376812</v>
      </c>
    </row>
    <row r="53" spans="1:9" x14ac:dyDescent="0.35">
      <c r="A53" s="2">
        <v>120</v>
      </c>
      <c r="B53" s="17">
        <v>5.5199999999999999E-2</v>
      </c>
      <c r="C53" s="18">
        <v>0.216</v>
      </c>
      <c r="D53" s="19">
        <f t="shared" si="14"/>
        <v>3.9130434782608696</v>
      </c>
      <c r="E53" s="17">
        <f t="shared" si="11"/>
        <v>39.130434782608695</v>
      </c>
      <c r="F53" s="17">
        <f t="shared" si="12"/>
        <v>35.217391304347821</v>
      </c>
      <c r="G53" s="17">
        <f t="shared" si="13"/>
        <v>0.19565217391304346</v>
      </c>
      <c r="H53" s="19">
        <f>F53+SUM($G$46:G52)</f>
        <v>35.485507246376805</v>
      </c>
      <c r="I53" s="22">
        <f t="shared" si="15"/>
        <v>35.485507246376805</v>
      </c>
    </row>
    <row r="54" spans="1:9" x14ac:dyDescent="0.35">
      <c r="A54" s="4">
        <v>180</v>
      </c>
      <c r="B54" s="19">
        <v>5.5199999999999999E-2</v>
      </c>
      <c r="C54" s="20">
        <v>0.27800000000000002</v>
      </c>
      <c r="D54" s="19">
        <f t="shared" si="14"/>
        <v>5.0362318840579716</v>
      </c>
      <c r="E54" s="19">
        <f t="shared" si="11"/>
        <v>50.362318840579718</v>
      </c>
      <c r="F54" s="19">
        <f t="shared" si="12"/>
        <v>45.326086956521742</v>
      </c>
      <c r="G54" s="19">
        <f t="shared" si="13"/>
        <v>0.25181159420289861</v>
      </c>
      <c r="H54" s="19">
        <f>F54+SUM($G$46:G53)</f>
        <v>45.789855072463773</v>
      </c>
      <c r="I54" s="22">
        <f t="shared" si="15"/>
        <v>45.789855072463773</v>
      </c>
    </row>
    <row r="55" spans="1:9" x14ac:dyDescent="0.35">
      <c r="A55" s="2">
        <v>240</v>
      </c>
      <c r="B55" s="17">
        <v>5.5199999999999999E-2</v>
      </c>
      <c r="C55" s="18">
        <v>0.33900000000000002</v>
      </c>
      <c r="D55" s="19">
        <f t="shared" si="14"/>
        <v>6.1413043478260878</v>
      </c>
      <c r="E55" s="17">
        <f t="shared" si="11"/>
        <v>61.413043478260875</v>
      </c>
      <c r="F55" s="17">
        <f t="shared" si="12"/>
        <v>55.271739130434781</v>
      </c>
      <c r="G55" s="17">
        <f t="shared" si="13"/>
        <v>0.30706521739130438</v>
      </c>
      <c r="H55" s="19">
        <f>F55+SUM($G$46:G54)</f>
        <v>55.987318840579711</v>
      </c>
      <c r="I55" s="22">
        <f t="shared" si="15"/>
        <v>55.987318840579711</v>
      </c>
    </row>
    <row r="56" spans="1:9" x14ac:dyDescent="0.35">
      <c r="A56" s="4">
        <v>300</v>
      </c>
      <c r="B56" s="19">
        <v>5.5199999999999999E-2</v>
      </c>
      <c r="C56" s="20">
        <v>0.36899999999999999</v>
      </c>
      <c r="D56" s="19">
        <f t="shared" si="14"/>
        <v>6.6847826086956523</v>
      </c>
      <c r="E56" s="19">
        <f t="shared" si="11"/>
        <v>66.84782608695653</v>
      </c>
      <c r="F56" s="19">
        <f t="shared" si="12"/>
        <v>60.163043478260882</v>
      </c>
      <c r="G56" s="19">
        <f t="shared" si="13"/>
        <v>0.33423913043478265</v>
      </c>
      <c r="H56" s="19">
        <f>F56+SUM($G$46:G55)</f>
        <v>61.185688405797116</v>
      </c>
      <c r="I56" s="22">
        <f t="shared" si="15"/>
        <v>61.185688405797109</v>
      </c>
    </row>
    <row r="57" spans="1:9" x14ac:dyDescent="0.35">
      <c r="A57" s="2">
        <v>360</v>
      </c>
      <c r="B57" s="17">
        <v>5.5199999999999999E-2</v>
      </c>
      <c r="C57" s="18">
        <v>0.42199999999999999</v>
      </c>
      <c r="D57" s="19">
        <f t="shared" si="14"/>
        <v>7.6449275362318838</v>
      </c>
      <c r="E57" s="17">
        <f t="shared" si="11"/>
        <v>76.449275362318843</v>
      </c>
      <c r="F57" s="17">
        <f t="shared" si="12"/>
        <v>68.804347826086953</v>
      </c>
      <c r="G57" s="17">
        <f t="shared" si="13"/>
        <v>0.38224637681159424</v>
      </c>
      <c r="H57" s="19">
        <f>F57+SUM($G$46:G56)</f>
        <v>70.161231884057969</v>
      </c>
      <c r="I57" s="22">
        <f t="shared" si="15"/>
        <v>70.161231884057969</v>
      </c>
    </row>
    <row r="60" spans="1:9" ht="62" x14ac:dyDescent="0.35">
      <c r="A60" s="1" t="s">
        <v>4</v>
      </c>
      <c r="B60" s="1" t="s">
        <v>12</v>
      </c>
      <c r="C60" s="1" t="s">
        <v>12</v>
      </c>
      <c r="D60" s="1" t="s">
        <v>12</v>
      </c>
      <c r="E60" s="23" t="s">
        <v>17</v>
      </c>
    </row>
    <row r="61" spans="1:9" x14ac:dyDescent="0.35">
      <c r="A61" s="5">
        <v>0</v>
      </c>
      <c r="B61" s="3">
        <v>0</v>
      </c>
      <c r="C61" s="3">
        <v>0</v>
      </c>
      <c r="D61" s="3">
        <v>0</v>
      </c>
      <c r="E61" s="3">
        <f>AVERAGE(B61:D61)</f>
        <v>0</v>
      </c>
    </row>
    <row r="62" spans="1:9" x14ac:dyDescent="0.35">
      <c r="A62" s="6">
        <v>5</v>
      </c>
      <c r="B62" s="21">
        <v>0.97826086956521752</v>
      </c>
      <c r="C62" s="21">
        <v>1.3115942028985508</v>
      </c>
      <c r="D62" s="21">
        <v>1.4755434782608696</v>
      </c>
      <c r="E62" s="3">
        <f t="shared" ref="E62:E73" si="16">AVERAGE(B62:D62)</f>
        <v>1.255132850241546</v>
      </c>
    </row>
    <row r="63" spans="1:9" x14ac:dyDescent="0.35">
      <c r="A63" s="5">
        <v>10</v>
      </c>
      <c r="B63" s="22">
        <v>1.7989130434782608</v>
      </c>
      <c r="C63" s="22">
        <v>2.6159420289855073</v>
      </c>
      <c r="D63" s="22">
        <v>2.4538043478260869</v>
      </c>
      <c r="E63" s="3">
        <f t="shared" si="16"/>
        <v>2.289553140096618</v>
      </c>
    </row>
    <row r="64" spans="1:9" x14ac:dyDescent="0.35">
      <c r="A64" s="6">
        <v>15</v>
      </c>
      <c r="B64" s="22">
        <v>2.4610507246376812</v>
      </c>
      <c r="C64" s="22">
        <v>3.1195652173913042</v>
      </c>
      <c r="D64" s="22">
        <v>2.4673913043478262</v>
      </c>
      <c r="E64" s="3">
        <f t="shared" si="16"/>
        <v>2.6826690821256043</v>
      </c>
    </row>
    <row r="65" spans="1:5" x14ac:dyDescent="0.35">
      <c r="A65" s="5">
        <v>20</v>
      </c>
      <c r="B65" s="22">
        <v>3.942028985507247</v>
      </c>
      <c r="C65" s="22">
        <v>4.6041666666666661</v>
      </c>
      <c r="D65" s="22">
        <v>4.4374999999999991</v>
      </c>
      <c r="E65" s="3">
        <f t="shared" si="16"/>
        <v>4.3278985507246377</v>
      </c>
    </row>
    <row r="66" spans="1:5" x14ac:dyDescent="0.35">
      <c r="A66" s="6">
        <v>25</v>
      </c>
      <c r="B66" s="22">
        <v>4.9420289855072461</v>
      </c>
      <c r="C66" s="22">
        <v>4.9556159420289854</v>
      </c>
      <c r="D66" s="22">
        <v>4.9510869565217392</v>
      </c>
      <c r="E66" s="3">
        <f t="shared" si="16"/>
        <v>4.9495772946859899</v>
      </c>
    </row>
    <row r="67" spans="1:5" x14ac:dyDescent="0.35">
      <c r="A67" s="5">
        <v>30</v>
      </c>
      <c r="B67" s="22">
        <v>5.9474637681159424</v>
      </c>
      <c r="C67" s="22">
        <v>6.1240942028985508</v>
      </c>
      <c r="D67" s="22">
        <v>5.6304347826086971</v>
      </c>
      <c r="E67" s="3">
        <f t="shared" si="16"/>
        <v>5.9006642512077292</v>
      </c>
    </row>
    <row r="68" spans="1:5" x14ac:dyDescent="0.35">
      <c r="A68" s="6">
        <v>60</v>
      </c>
      <c r="B68" s="22">
        <v>25.056159420289852</v>
      </c>
      <c r="C68" s="22">
        <v>25.885869565217394</v>
      </c>
      <c r="D68" s="22">
        <v>26.041666666666668</v>
      </c>
      <c r="E68" s="3">
        <f t="shared" si="16"/>
        <v>25.661231884057973</v>
      </c>
    </row>
    <row r="69" spans="1:5" x14ac:dyDescent="0.35">
      <c r="A69" s="5">
        <v>120</v>
      </c>
      <c r="B69" s="22">
        <v>35.303442028985508</v>
      </c>
      <c r="C69" s="22">
        <v>35.974637681159422</v>
      </c>
      <c r="D69" s="22">
        <v>35.479166666666664</v>
      </c>
      <c r="E69" s="3">
        <f t="shared" si="16"/>
        <v>35.585748792270529</v>
      </c>
    </row>
    <row r="70" spans="1:5" x14ac:dyDescent="0.35">
      <c r="A70" s="6">
        <v>180</v>
      </c>
      <c r="B70" s="22">
        <v>45.443840579710155</v>
      </c>
      <c r="C70" s="22">
        <v>45.955615942028992</v>
      </c>
      <c r="D70" s="22">
        <v>45.783514492753625</v>
      </c>
      <c r="E70" s="3">
        <f t="shared" si="16"/>
        <v>45.727657004830924</v>
      </c>
    </row>
    <row r="71" spans="1:5" x14ac:dyDescent="0.35">
      <c r="A71" s="5">
        <v>240</v>
      </c>
      <c r="B71" s="22">
        <v>55.639492753623202</v>
      </c>
      <c r="C71" s="22">
        <v>55.990942028985515</v>
      </c>
      <c r="D71" s="22">
        <v>55.980978260869563</v>
      </c>
      <c r="E71" s="3">
        <f t="shared" si="16"/>
        <v>55.870471014492757</v>
      </c>
    </row>
    <row r="72" spans="1:5" x14ac:dyDescent="0.35">
      <c r="A72" s="6">
        <v>300</v>
      </c>
      <c r="B72" s="22">
        <v>60.999094202898561</v>
      </c>
      <c r="C72" s="22">
        <v>61.678442028985501</v>
      </c>
      <c r="D72" s="22">
        <v>61.179347826086975</v>
      </c>
      <c r="E72" s="3">
        <f t="shared" si="16"/>
        <v>61.285628019323674</v>
      </c>
    </row>
    <row r="73" spans="1:5" x14ac:dyDescent="0.35">
      <c r="A73" s="5">
        <v>360</v>
      </c>
      <c r="B73" s="22">
        <v>71.278079710144937</v>
      </c>
      <c r="C73" s="22">
        <v>72.124094202898547</v>
      </c>
      <c r="D73" s="22">
        <v>70.154891304347828</v>
      </c>
      <c r="E73" s="3">
        <f t="shared" si="16"/>
        <v>71.185688405797109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niteshanchan0930@outlook.com</dc:creator>
  <cp:lastModifiedBy>Nitesh .</cp:lastModifiedBy>
  <dcterms:created xsi:type="dcterms:W3CDTF">2026-08-13T14:06:09Z</dcterms:created>
  <dcterms:modified xsi:type="dcterms:W3CDTF">2026-10-01T02:27:06Z</dcterms:modified>
</cp:coreProperties>
</file>